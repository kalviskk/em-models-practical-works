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vi\projects\skola\msc\em-models\prac1\"/>
    </mc:Choice>
  </mc:AlternateContent>
  <xr:revisionPtr revIDLastSave="0" documentId="13_ncr:1_{C3B1D0B3-7A2A-44C9-BFD4-8253451F25DA}" xr6:coauthVersionLast="47" xr6:coauthVersionMax="47" xr10:uidLastSave="{00000000-0000-0000-0000-000000000000}"/>
  <bookViews>
    <workbookView xWindow="4920" yWindow="3360" windowWidth="17280" windowHeight="8880" activeTab="1" xr2:uid="{49F9FE81-3B6C-4EC6-B51A-77EEBF7B3A28}"/>
  </bookViews>
  <sheets>
    <sheet name="p1" sheetId="1" r:id="rId1"/>
    <sheet name="p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E3" i="2"/>
  <c r="C3" i="2"/>
  <c r="E2" i="1"/>
  <c r="F3" i="1"/>
  <c r="F4" i="1"/>
  <c r="F5" i="1"/>
  <c r="F6" i="1"/>
  <c r="F2" i="1"/>
  <c r="C3" i="1"/>
  <c r="E3" i="1" s="1"/>
  <c r="C4" i="1"/>
  <c r="E4" i="1" s="1"/>
  <c r="C5" i="1"/>
  <c r="E5" i="1" s="1"/>
  <c r="C6" i="1"/>
  <c r="E6" i="1" s="1"/>
  <c r="C2" i="1"/>
</calcChain>
</file>

<file path=xl/sharedStrings.xml><?xml version="1.0" encoding="utf-8"?>
<sst xmlns="http://schemas.openxmlformats.org/spreadsheetml/2006/main" count="12" uniqueCount="12">
  <si>
    <t>r_1, m</t>
  </si>
  <si>
    <t>r_2, m</t>
  </si>
  <si>
    <t>I_calc, A</t>
  </si>
  <si>
    <t>R_teor, ohm</t>
  </si>
  <si>
    <t>U_meas, V</t>
  </si>
  <si>
    <t>R_calc, ohm</t>
  </si>
  <si>
    <t>I assume the current density on the bottom is 1A/m2 since it is not said</t>
  </si>
  <si>
    <t>J, A/m2</t>
  </si>
  <si>
    <t>I, A</t>
  </si>
  <si>
    <t>dV, V</t>
  </si>
  <si>
    <t>S, m2</t>
  </si>
  <si>
    <t>R,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</si>
</sst>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E+00"/>
    <numFmt numFmtId="165" formatCode="0.000000"/>
    <numFmt numFmtId="166" formatCode="0.000"/>
  </numFmts>
  <fonts count="1" x14ac:knownFonts="1">
    <font>
      <sz val="11"/>
      <color theme="1"/>
      <name val="Aptos Narrow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148244</xdr:rowOff>
    </xdr:from>
    <xdr:to>
      <xdr:col>10</xdr:col>
      <xdr:colOff>475470</xdr:colOff>
      <xdr:row>60</xdr:row>
      <xdr:rowOff>92235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64CA72A-5162-9D10-94F6-6E1B246EA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49880"/>
          <a:ext cx="6820852" cy="80489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114300</xdr:colOff>
      <xdr:row>15</xdr:row>
      <xdr:rowOff>102524</xdr:rowOff>
    </xdr:from>
    <xdr:to>
      <xdr:col>22</xdr:col>
      <xdr:colOff>305763</xdr:colOff>
      <xdr:row>60</xdr:row>
      <xdr:rowOff>56041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B54ABBD-9707-B23A-A159-6844007B1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19900" y="2804160"/>
          <a:ext cx="6897063" cy="8058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14627-DA28-4EA8-A4B4-C13A3036FB0C}">
  <dimension ref="A1:F6"/>
  <sheetViews>
    <sheetView workbookViewId="0">
      <selection activeCell="G7" sqref="G7"/>
    </sheetView>
  </sheetViews>
  <sheetFormatPr defaultRowHeight="14.4" x14ac:dyDescent="0.3"/>
  <cols>
    <col min="3" max="3" width="12" bestFit="1" customWidth="1"/>
    <col min="4" max="4" width="9.44140625" bestFit="1" customWidth="1"/>
    <col min="5" max="5" width="10.77734375" bestFit="1" customWidth="1"/>
    <col min="6" max="6" width="12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3</v>
      </c>
    </row>
    <row r="2" spans="1:6" x14ac:dyDescent="0.3">
      <c r="A2" s="1">
        <v>5.0000000000000001E-3</v>
      </c>
      <c r="B2" s="1">
        <v>5.0000000000000001E-3</v>
      </c>
      <c r="C2" s="2">
        <f>1*PI()*A2^2</f>
        <v>7.8539816339744827E-5</v>
      </c>
      <c r="D2" s="1">
        <v>4.9937000000000002E-2</v>
      </c>
      <c r="E2" s="4">
        <f>D2/C2</f>
        <v>635.81763145439822</v>
      </c>
      <c r="F2" s="4">
        <f>0.05/(1*PI()*A2*B2)</f>
        <v>636.61977236758128</v>
      </c>
    </row>
    <row r="3" spans="1:6" x14ac:dyDescent="0.3">
      <c r="A3" s="1">
        <v>5.0000000000000001E-3</v>
      </c>
      <c r="B3" s="1">
        <v>0.01</v>
      </c>
      <c r="C3" s="2">
        <f t="shared" ref="C3:C6" si="0">1*PI()*A3^2</f>
        <v>7.8539816339744827E-5</v>
      </c>
      <c r="D3" s="3">
        <v>2.5100000000000001E-2</v>
      </c>
      <c r="E3" s="4">
        <f t="shared" ref="E3:E6" si="1">D3/C3</f>
        <v>319.58312572852589</v>
      </c>
      <c r="F3" s="4">
        <f t="shared" ref="F3:F6" si="2">0.05/(1*PI()*A3*B3)</f>
        <v>318.30988618379064</v>
      </c>
    </row>
    <row r="4" spans="1:6" x14ac:dyDescent="0.3">
      <c r="A4" s="1">
        <v>5.0000000000000001E-3</v>
      </c>
      <c r="B4" s="1">
        <v>1.4999999999999999E-2</v>
      </c>
      <c r="C4" s="2">
        <f t="shared" si="0"/>
        <v>7.8539816339744827E-5</v>
      </c>
      <c r="D4" s="1">
        <v>1.7011999999999999E-2</v>
      </c>
      <c r="E4" s="4">
        <f>D4/C4</f>
        <v>216.60351135034588</v>
      </c>
      <c r="F4" s="4">
        <f t="shared" si="2"/>
        <v>212.20659078919377</v>
      </c>
    </row>
    <row r="5" spans="1:6" x14ac:dyDescent="0.3">
      <c r="A5" s="1">
        <v>5.0000000000000001E-3</v>
      </c>
      <c r="B5" s="1">
        <v>0.05</v>
      </c>
      <c r="C5" s="2">
        <f t="shared" si="0"/>
        <v>7.8539816339744827E-5</v>
      </c>
      <c r="D5" s="1">
        <v>6.7239999999999999E-3</v>
      </c>
      <c r="E5" s="4">
        <f>D5/C5</f>
        <v>85.612626987992343</v>
      </c>
      <c r="F5" s="4">
        <f t="shared" si="2"/>
        <v>63.661977236758126</v>
      </c>
    </row>
    <row r="6" spans="1:6" x14ac:dyDescent="0.3">
      <c r="A6" s="1">
        <v>5.0000000000000001E-3</v>
      </c>
      <c r="B6" s="1">
        <v>0.1</v>
      </c>
      <c r="C6" s="2">
        <f t="shared" si="0"/>
        <v>7.8539816339744827E-5</v>
      </c>
      <c r="D6" s="1">
        <v>5.2059999999999997E-3</v>
      </c>
      <c r="E6" s="4">
        <f t="shared" si="1"/>
        <v>66.284850698912564</v>
      </c>
      <c r="F6" s="4">
        <f t="shared" si="2"/>
        <v>31.830988618379063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15BB3-F582-4839-BEAE-754E3DF7A001}">
  <dimension ref="A1:F3"/>
  <sheetViews>
    <sheetView tabSelected="1" zoomScale="75" zoomScaleNormal="75" workbookViewId="0">
      <selection activeCell="H6" sqref="H6"/>
    </sheetView>
  </sheetViews>
  <sheetFormatPr defaultRowHeight="14.4" x14ac:dyDescent="0.3"/>
  <cols>
    <col min="3" max="3" width="12.44140625" bestFit="1" customWidth="1"/>
  </cols>
  <sheetData>
    <row r="1" spans="1:6" x14ac:dyDescent="0.3">
      <c r="A1" t="s">
        <v>6</v>
      </c>
    </row>
    <row r="2" spans="1:6" x14ac:dyDescent="0.3">
      <c r="B2" t="s">
        <v>7</v>
      </c>
      <c r="C2" t="s">
        <v>10</v>
      </c>
      <c r="D2" t="s">
        <v>9</v>
      </c>
      <c r="E2" t="s">
        <v>8</v>
      </c>
      <c r="F2" t="s">
        <v>11</v>
      </c>
    </row>
    <row r="3" spans="1:6" x14ac:dyDescent="0.3">
      <c r="B3">
        <v>41.762700000000002</v>
      </c>
      <c r="C3">
        <f>PI()*0.005^2</f>
        <v>7.8539816339744827E-5</v>
      </c>
      <c r="D3">
        <v>2.3900000000000001E-2</v>
      </c>
      <c r="E3">
        <f>B3*C3</f>
        <v>3.2800347878518617E-3</v>
      </c>
      <c r="F3">
        <f>D3/E3</f>
        <v>7.2865080847671218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p1</vt:lpstr>
      <vt:lpstr>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Kalvis Kalniņš</dc:creator>
  <cp:lastModifiedBy>Kalvis Kalniņš</cp:lastModifiedBy>
  <dcterms:created xsi:type="dcterms:W3CDTF">2026-02-05T08:49:57Z</dcterms:created>
  <dcterms:modified xsi:type="dcterms:W3CDTF">2026-02-05T11:24:57Z</dcterms:modified>
</cp:coreProperties>
</file>